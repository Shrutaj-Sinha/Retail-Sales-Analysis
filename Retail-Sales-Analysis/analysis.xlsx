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ales_data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<sst xmlns="http://schemas.openxmlformats.org/spreadsheetml/2006/main" count="38" uniqueCount="22">
  <si>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order_id</t>
  </si>
  <si>
    <t>order_date</t>
  </si>
  <si>
    <t>city</t>
  </si>
  <si>
    <t>product</t>
  </si>
  <si>
    <t>category</t>
  </si>
  <si>
    <t>quantity</t>
  </si>
  <si>
    <t>price</t>
  </si>
  <si>
    <t>Total Sales</t>
  </si>
  <si>
    <t>Pune</t>
  </si>
  <si>
    <t>Laptop</t>
  </si>
  <si>
    <t>Electronics</t>
  </si>
  <si>
    <t>Mumbai</t>
  </si>
  <si>
    <t>Mobile</t>
  </si>
  <si>
    <t>Headphones</t>
  </si>
  <si>
    <t>Accessories</t>
  </si>
  <si>
    <t>Nagpur</t>
  </si>
  <si>
    <t>Keyboard</t>
  </si>
  <si>
    <t>Sum of Total Sales</t>
  </si>
  <si>
    <t>Grand Total</t>
  </si>
  <si>
    <t>Highest Sales:</t>
  </si>
  <si>
    <t>Of Products</t>
  </si>
  <si>
    <t>In Cities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</si>
</sst>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9.2366203704" refreshedBy="KIIT0001" recordCount="5">
  <cacheSource type="worksheet">
    <worksheetSource ref="A1:H6" sheet="sales_data"/>
  </cacheSource>
  <cacheFields count="8">
    <cacheField name="order_id" numFmtId="0">
      <sharedItems containsSemiMixedTypes="0" containsString="0" containsNumber="1" containsInteger="1" minValue="1001" maxValue="1005" count="5">
        <n v="1001"/>
        <n v="1002"/>
        <n v="1003"/>
        <n v="1004"/>
        <n v="1005"/>
      </sharedItems>
    </cacheField>
    <cacheField name="order_date" numFmtId="180">
      <sharedItems containsSemiMixedTypes="0" containsString="0" containsNonDate="0" containsDate="1" minDate="2025-01-10T00:00:00" maxDate="2025-01-13T00:00:00" count="4">
        <d v="2025-01-10T00:00:00"/>
        <d v="2025-01-11T00:00:00"/>
        <d v="2025-01-12T00:00:00"/>
        <d v="2025-01-13T00:00:00"/>
      </sharedItems>
    </cacheField>
    <cacheField name="city" numFmtId="0">
      <sharedItems count="3">
        <s v="Pune"/>
        <s v="Mumbai"/>
        <s v="Nagpur"/>
      </sharedItems>
    </cacheField>
    <cacheField name="product" numFmtId="0">
      <sharedItems count="4">
        <s v="Laptop"/>
        <s v="Mobile"/>
        <s v="Headphones"/>
        <s v="Keyboard"/>
      </sharedItems>
    </cacheField>
    <cacheField name="category" numFmtId="0">
      <sharedItems count="2">
        <s v="Electronics"/>
        <s v="Accessories"/>
      </sharedItems>
    </cacheField>
    <cacheField name="quantity" numFmtId="0">
      <sharedItems containsSemiMixedTypes="0" containsString="0" containsNumber="1" containsInteger="1" minValue="1" maxValue="5" count="5">
        <n v="2"/>
        <n v="3"/>
        <n v="5"/>
        <n v="4"/>
        <n v="1"/>
      </sharedItems>
    </cacheField>
    <cacheField name="price" numFmtId="0">
      <sharedItems containsSemiMixedTypes="0" containsString="0" containsNumber="1" containsInteger="1" minValue="1500" maxValue="50000" count="4">
        <n v="50000"/>
        <n v="20000"/>
        <n v="2000"/>
        <n v="1500"/>
      </sharedItems>
    </cacheField>
    <cacheField name="Total Sales" numFmtId="0">
      <sharedItems containsSemiMixedTypes="0" containsString="0" containsNumber="1" containsInteger="1" minValue="6000" maxValue="100000" count="5">
        <n v="100000"/>
        <n v="60000"/>
        <n v="10000"/>
        <n v="6000"/>
        <n v="50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x v="0"/>
    <x v="0"/>
    <x v="0"/>
    <x v="0"/>
  </r>
  <r>
    <x v="1"/>
    <x v="1"/>
    <x v="1"/>
    <x v="1"/>
    <x v="0"/>
    <x v="1"/>
    <x v="1"/>
    <x v="1"/>
  </r>
  <r>
    <x v="2"/>
    <x v="1"/>
    <x v="0"/>
    <x v="2"/>
    <x v="1"/>
    <x v="2"/>
    <x v="2"/>
    <x v="2"/>
  </r>
  <r>
    <x v="3"/>
    <x v="2"/>
    <x v="2"/>
    <x v="3"/>
    <x v="1"/>
    <x v="3"/>
    <x v="3"/>
    <x v="3"/>
  </r>
  <r>
    <x v="4"/>
    <x v="3"/>
    <x v="1"/>
    <x v="0"/>
    <x v="0"/>
    <x v="4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2:E18" firstHeaderRow="1" firstDataRow="2" firstDataCol="1"/>
  <pivotFields count="8">
    <pivotField compact="0" showAll="0"/>
    <pivotField compact="0" numFmtId="180" showAll="0"/>
    <pivotField axis="axisCol" compact="0" showAll="0">
      <items count="4">
        <item x="1"/>
        <item x="2"/>
        <item x="0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compact="0" showAll="0"/>
    <pivotField dataField="1" compact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 Sales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zoomScaleSheetLayoutView="60" workbookViewId="0">
      <selection activeCell="H26" sqref="H26"/>
    </sheetView>
  </sheetViews>
  <sheetFormatPr defaultColWidth="9.81818181818182" defaultRowHeight="14.5" outlineLevelCol="7"/>
  <cols>
    <col min="1" max="1" width="17.6363636363636"/>
    <col min="2" max="2" width="11.9090909090909" customWidth="1"/>
    <col min="3" max="3" width="8.54545454545454"/>
    <col min="4" max="4" width="11.2727272727273" customWidth="1"/>
    <col min="5" max="5" width="11.5454545454545"/>
    <col min="7" max="7" width="15" customWidth="1"/>
    <col min="8" max="8" width="10.363636363636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1001</v>
      </c>
      <c r="B2" s="1">
        <v>45667</v>
      </c>
      <c r="C2" t="s">
        <v>8</v>
      </c>
      <c r="D2" t="s">
        <v>9</v>
      </c>
      <c r="E2" t="s">
        <v>10</v>
      </c>
      <c r="F2">
        <v>2</v>
      </c>
      <c r="G2">
        <v>50000</v>
      </c>
      <c r="H2">
        <f>F2*G2</f>
        <v>100000</v>
      </c>
    </row>
    <row r="3" spans="1:8">
      <c r="A3">
        <v>1002</v>
      </c>
      <c r="B3" s="1">
        <v>45668</v>
      </c>
      <c r="C3" t="s">
        <v>11</v>
      </c>
      <c r="D3" t="s">
        <v>12</v>
      </c>
      <c r="E3" t="s">
        <v>10</v>
      </c>
      <c r="F3">
        <v>3</v>
      </c>
      <c r="G3">
        <v>20000</v>
      </c>
      <c r="H3">
        <f>F3*G3</f>
        <v>60000</v>
      </c>
    </row>
    <row r="4" spans="1:8">
      <c r="A4">
        <v>1003</v>
      </c>
      <c r="B4" s="1">
        <v>45668</v>
      </c>
      <c r="C4" t="s">
        <v>8</v>
      </c>
      <c r="D4" t="s">
        <v>13</v>
      </c>
      <c r="E4" t="s">
        <v>14</v>
      </c>
      <c r="F4">
        <v>5</v>
      </c>
      <c r="G4">
        <v>2000</v>
      </c>
      <c r="H4">
        <f>F4*G4</f>
        <v>10000</v>
      </c>
    </row>
    <row r="5" spans="1:8">
      <c r="A5">
        <v>1004</v>
      </c>
      <c r="B5" s="1">
        <v>45669</v>
      </c>
      <c r="C5" t="s">
        <v>15</v>
      </c>
      <c r="D5" t="s">
        <v>16</v>
      </c>
      <c r="E5" t="s">
        <v>14</v>
      </c>
      <c r="F5">
        <v>4</v>
      </c>
      <c r="G5">
        <v>1500</v>
      </c>
      <c r="H5">
        <f>F5*G5</f>
        <v>6000</v>
      </c>
    </row>
    <row r="6" spans="1:8">
      <c r="A6">
        <v>1005</v>
      </c>
      <c r="B6" s="1">
        <v>45670</v>
      </c>
      <c r="C6" t="s">
        <v>11</v>
      </c>
      <c r="D6" t="s">
        <v>9</v>
      </c>
      <c r="E6" t="s">
        <v>10</v>
      </c>
      <c r="F6">
        <v>1</v>
      </c>
      <c r="G6">
        <v>50000</v>
      </c>
      <c r="H6">
        <f>F6*G6</f>
        <v>50000</v>
      </c>
    </row>
    <row r="12" spans="1:8">
      <c r="A12" t="s">
        <v>17</v>
      </c>
      <c r="B12" t="s">
        <v>2</v>
      </c>
    </row>
    <row r="13" spans="1:8">
      <c r="A13" t="s">
        <v>3</v>
      </c>
      <c r="B13" t="s">
        <v>11</v>
      </c>
      <c r="C13" t="s">
        <v>15</v>
      </c>
      <c r="D13" t="s">
        <v>8</v>
      </c>
      <c r="E13" t="s">
        <v>18</v>
      </c>
      <c r="G13" s="2" t="s">
        <v>19</v>
      </c>
    </row>
    <row r="14" spans="1:8">
      <c r="A14" t="s">
        <v>13</v>
      </c>
      <c r="B14"/>
      <c r="C14"/>
      <c r="D14">
        <v>10000</v>
      </c>
      <c r="E14">
        <v>10000</v>
      </c>
      <c r="G14" s="2" t="s">
        <v>20</v>
      </c>
      <c r="H14">
        <f>MAX(E14:E17)</f>
        <v>150000</v>
      </c>
    </row>
    <row r="15" spans="1:8">
      <c r="A15" t="s">
        <v>16</v>
      </c>
      <c r="B15"/>
      <c r="C15">
        <v>6000</v>
      </c>
      <c r="E15">
        <v>6000</v>
      </c>
      <c r="G15" s="2" t="s">
        <v>21</v>
      </c>
      <c r="H15">
        <f>MAX(B18:D18)</f>
        <v>110000</v>
      </c>
    </row>
    <row r="16" spans="1:8">
      <c r="A16" t="s">
        <v>9</v>
      </c>
      <c r="B16">
        <v>50000</v>
      </c>
      <c r="C16"/>
      <c r="D16">
        <v>100000</v>
      </c>
      <c r="E16">
        <v>150000</v>
      </c>
    </row>
    <row r="17" spans="1:5">
      <c r="A17" t="s">
        <v>12</v>
      </c>
      <c r="B17">
        <v>60000</v>
      </c>
      <c r="C17"/>
      <c r="E17">
        <v>60000</v>
      </c>
    </row>
    <row r="18" spans="1:5">
      <c r="A18" t="s">
        <v>18</v>
      </c>
      <c r="B18">
        <v>110000</v>
      </c>
      <c r="C18">
        <v>6000</v>
      </c>
      <c r="D18">
        <v>110000</v>
      </c>
      <c r="E18">
        <v>226000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 JOHRI</cp:lastModifiedBy>
  <dcterms:created xsi:type="dcterms:W3CDTF">2026-04-17T00:00:11Z</dcterms:created>
  <dcterms:modified xsi:type="dcterms:W3CDTF">2026-04-17T12:04:02Z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8533CCACAE5F435DA8735C727DD0D0DE_13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